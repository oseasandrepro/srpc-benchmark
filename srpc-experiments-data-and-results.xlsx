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-08-2026 - 27-08-2026" sheetId="1" r:id="rId5"/>
    <sheet state="visible" name="sumary-of-metrics-and-graphics " sheetId="2" r:id="rId6"/>
  </sheets>
  <definedNames/>
  <calcPr/>
</workbook>
</file>

<file path=xl/sharedStrings.xml><?xml version="1.0" encoding="utf-8"?>
<sst xmlns="http://schemas.openxmlformats.org/spreadsheetml/2006/main" count="139" uniqueCount="28">
  <si>
    <t>8 Workers</t>
  </si>
  <si>
    <t>try 1</t>
  </si>
  <si>
    <t>try 2</t>
  </si>
  <si>
    <t>try 3</t>
  </si>
  <si>
    <t>try 4</t>
  </si>
  <si>
    <t>try 5</t>
  </si>
  <si>
    <t>128 workers</t>
  </si>
  <si>
    <t>Avg_cpu(peak)</t>
  </si>
  <si>
    <t>Work memory(KB)(peak)</t>
  </si>
  <si>
    <t>Throughput(req/s)</t>
  </si>
  <si>
    <t>Errors</t>
  </si>
  <si>
    <t>latency_med(ms)</t>
  </si>
  <si>
    <t>latency_p90(ms)</t>
  </si>
  <si>
    <t>latency_p95(ms)</t>
  </si>
  <si>
    <t>latency_p99(ms)</t>
  </si>
  <si>
    <t>tcp_socket_connecting_med(ms)</t>
  </si>
  <si>
    <t>tcp_socket_connecting_p90(ms)</t>
  </si>
  <si>
    <t>16 workers</t>
  </si>
  <si>
    <t>256 workers</t>
  </si>
  <si>
    <t>32 workers</t>
  </si>
  <si>
    <t>512 workers</t>
  </si>
  <si>
    <t>latency_95(ms)</t>
  </si>
  <si>
    <t>64 workers</t>
  </si>
  <si>
    <t>1024 workers</t>
  </si>
  <si>
    <t>workers</t>
  </si>
  <si>
    <t xml:space="preserve"> Throughput(req/s) </t>
  </si>
  <si>
    <t>memory(peak)</t>
  </si>
  <si>
    <t xml:space="preserve"> Theoritical Throughput(req/s)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</si>
</sst>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0.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/>
    </xf>
    <xf borderId="1" fillId="0" fontId="3" numFmtId="0" xfId="0" applyAlignment="1" applyBorder="1" applyFont="1">
      <alignment horizontal="left" readingOrder="0" vertical="bottom"/>
    </xf>
    <xf borderId="0" fillId="0" fontId="3" numFmtId="0" xfId="0" applyAlignment="1" applyFont="1">
      <alignment vertical="bottom"/>
    </xf>
    <xf borderId="1" fillId="0" fontId="3" numFmtId="164" xfId="0" applyAlignment="1" applyBorder="1" applyFont="1" applyNumberFormat="1">
      <alignment horizontal="left" readingOrder="0" vertical="bottom"/>
    </xf>
    <xf borderId="1" fillId="0" fontId="1" numFmtId="164" xfId="0" applyAlignment="1" applyBorder="1" applyFont="1" applyNumberFormat="1">
      <alignment horizontal="left"/>
    </xf>
    <xf borderId="1" fillId="0" fontId="1" numFmtId="165" xfId="0" applyAlignment="1" applyBorder="1" applyFont="1" applyNumberFormat="1">
      <alignment horizontal="left" readingOrder="0"/>
    </xf>
    <xf borderId="1" fillId="0" fontId="1" numFmtId="165" xfId="0" applyAlignment="1" applyBorder="1" applyFont="1" applyNumberFormat="1">
      <alignment horizontal="left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right" readingOrder="0"/>
    </xf>
    <xf borderId="1" fillId="0" fontId="4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left" vertical="bottom"/>
    </xf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horizontal="left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image" Target="../media/Chart5.png"/><Relationship Id="rId6" Type="http://schemas.openxmlformats.org/officeDocument/2006/relationships/image" Target="../media/Chart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914400</xdr:colOff>
      <xdr:row>13</xdr:row>
      <xdr:rowOff>9525</xdr:rowOff>
    </xdr:from>
    <xdr:ext cx="6829425" cy="3705225"/>
    <xdr:pic>
      <xdr:nvPicPr>
        <xdr:cNvPr id="80325989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914400</xdr:colOff>
      <xdr:row>33</xdr:row>
      <xdr:rowOff>85725</xdr:rowOff>
    </xdr:from>
    <xdr:ext cx="6829425" cy="3705225"/>
    <xdr:pic>
      <xdr:nvPicPr>
        <xdr:cNvPr id="1541680575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33</xdr:row>
      <xdr:rowOff>85725</xdr:rowOff>
    </xdr:from>
    <xdr:ext cx="6829425" cy="3705225"/>
    <xdr:pic>
      <xdr:nvPicPr>
        <xdr:cNvPr id="1923912295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1247775</xdr:colOff>
      <xdr:row>12</xdr:row>
      <xdr:rowOff>152400</xdr:rowOff>
    </xdr:from>
    <xdr:ext cx="6829425" cy="3810000"/>
    <xdr:pic>
      <xdr:nvPicPr>
        <xdr:cNvPr id="1081225822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485775</xdr:colOff>
      <xdr:row>12</xdr:row>
      <xdr:rowOff>152400</xdr:rowOff>
    </xdr:from>
    <xdr:ext cx="6829425" cy="3810000"/>
    <xdr:pic>
      <xdr:nvPicPr>
        <xdr:cNvPr id="158470101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914400</xdr:colOff>
      <xdr:row>53</xdr:row>
      <xdr:rowOff>161925</xdr:rowOff>
    </xdr:from>
    <xdr:ext cx="6829425" cy="3705225"/>
    <xdr:pic>
      <xdr:nvPicPr>
        <xdr:cNvPr id="1933816830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38"/>
    <col customWidth="1" min="3" max="7" width="6.13"/>
    <col customWidth="1" min="9" max="9" width="20.5"/>
    <col customWidth="1" min="10" max="10" width="27.38"/>
    <col customWidth="1" min="11" max="15" width="7.0"/>
  </cols>
  <sheetData>
    <row r="2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J2" s="3" t="s">
        <v>6</v>
      </c>
      <c r="K2" s="4" t="s">
        <v>1</v>
      </c>
      <c r="L2" s="4" t="s">
        <v>2</v>
      </c>
      <c r="M2" s="4" t="s">
        <v>3</v>
      </c>
      <c r="N2" s="4" t="s">
        <v>4</v>
      </c>
      <c r="O2" s="4" t="s">
        <v>5</v>
      </c>
    </row>
    <row r="3">
      <c r="B3" s="2" t="s">
        <v>7</v>
      </c>
      <c r="C3" s="5">
        <v>0.25</v>
      </c>
      <c r="D3" s="5">
        <v>0.2</v>
      </c>
      <c r="E3" s="5">
        <v>0.22</v>
      </c>
      <c r="F3" s="5">
        <v>0.2</v>
      </c>
      <c r="G3" s="5">
        <v>0.17</v>
      </c>
      <c r="H3" s="6">
        <f t="shared" ref="H3:H5" si="1">AVERAGE(C3:G3)</f>
        <v>0.208</v>
      </c>
      <c r="J3" s="2" t="s">
        <v>7</v>
      </c>
      <c r="K3" s="7">
        <v>3.43</v>
      </c>
      <c r="L3" s="7">
        <v>3.28</v>
      </c>
      <c r="M3" s="7">
        <v>3.18</v>
      </c>
      <c r="N3" s="7">
        <v>3.7</v>
      </c>
      <c r="O3" s="7">
        <v>3.78</v>
      </c>
      <c r="P3" s="6">
        <f t="shared" ref="P3:P5" si="2">AVERAGE(K3:O3)</f>
        <v>3.474</v>
      </c>
    </row>
    <row r="4">
      <c r="B4" s="2" t="s">
        <v>8</v>
      </c>
      <c r="C4" s="5">
        <v>37.612</v>
      </c>
      <c r="D4" s="5">
        <v>37.072</v>
      </c>
      <c r="E4" s="5">
        <v>30.488</v>
      </c>
      <c r="F4" s="5">
        <v>29.124</v>
      </c>
      <c r="G4" s="5">
        <v>28.992</v>
      </c>
      <c r="H4" s="6">
        <f t="shared" si="1"/>
        <v>32.6576</v>
      </c>
      <c r="J4" s="2" t="s">
        <v>8</v>
      </c>
      <c r="K4" s="7">
        <v>83.04</v>
      </c>
      <c r="L4" s="7">
        <v>83.504</v>
      </c>
      <c r="M4" s="7">
        <v>83.196</v>
      </c>
      <c r="N4" s="7">
        <v>77.052</v>
      </c>
      <c r="O4" s="7">
        <v>76.008</v>
      </c>
      <c r="P4" s="6">
        <f t="shared" si="2"/>
        <v>80.56</v>
      </c>
    </row>
    <row r="5">
      <c r="B5" s="2" t="s">
        <v>9</v>
      </c>
      <c r="C5" s="5">
        <v>78.97</v>
      </c>
      <c r="D5" s="5">
        <v>78.73</v>
      </c>
      <c r="E5" s="5">
        <v>78.65</v>
      </c>
      <c r="F5" s="5">
        <v>79.04</v>
      </c>
      <c r="G5" s="5">
        <v>78.82</v>
      </c>
      <c r="H5" s="6">
        <f t="shared" si="1"/>
        <v>78.842</v>
      </c>
      <c r="J5" s="2" t="s">
        <v>9</v>
      </c>
      <c r="K5" s="7">
        <v>1230.0</v>
      </c>
      <c r="L5" s="7">
        <v>1140.0</v>
      </c>
      <c r="M5" s="7">
        <v>974.01</v>
      </c>
      <c r="N5" s="7">
        <v>1250.0</v>
      </c>
      <c r="O5" s="7">
        <v>1240.0</v>
      </c>
      <c r="P5" s="6">
        <f t="shared" si="2"/>
        <v>1166.802</v>
      </c>
    </row>
    <row r="6">
      <c r="B6" s="2" t="s">
        <v>10</v>
      </c>
      <c r="C6" s="5"/>
      <c r="D6" s="6"/>
      <c r="E6" s="6"/>
      <c r="F6" s="6"/>
      <c r="G6" s="6"/>
      <c r="H6" s="6"/>
      <c r="J6" s="2" t="s">
        <v>10</v>
      </c>
      <c r="K6" s="5"/>
      <c r="L6" s="6"/>
      <c r="M6" s="6"/>
      <c r="N6" s="6"/>
      <c r="O6" s="6"/>
      <c r="P6" s="6"/>
    </row>
    <row r="7">
      <c r="B7" s="2" t="s">
        <v>11</v>
      </c>
      <c r="C7" s="5">
        <v>12000.0</v>
      </c>
      <c r="D7" s="5">
        <v>12000.0</v>
      </c>
      <c r="E7" s="5">
        <v>12000.0</v>
      </c>
      <c r="F7" s="5">
        <v>12000.0</v>
      </c>
      <c r="G7" s="5">
        <v>12000.0</v>
      </c>
      <c r="H7" s="6">
        <f t="shared" ref="H7:H12" si="3">AVERAGE(C7:G7)</f>
        <v>12000</v>
      </c>
      <c r="J7" s="2" t="s">
        <v>11</v>
      </c>
      <c r="K7" s="5">
        <v>791.0</v>
      </c>
      <c r="L7" s="5">
        <v>793.0</v>
      </c>
      <c r="M7" s="5">
        <v>798.0</v>
      </c>
      <c r="N7" s="5">
        <v>790.0</v>
      </c>
      <c r="O7" s="5">
        <v>790.0</v>
      </c>
      <c r="P7" s="6">
        <f t="shared" ref="P7:P12" si="4">AVERAGE(K7:O7)</f>
        <v>792.4</v>
      </c>
    </row>
    <row r="8">
      <c r="B8" s="2" t="s">
        <v>12</v>
      </c>
      <c r="C8" s="5">
        <v>12000.0</v>
      </c>
      <c r="D8" s="5">
        <v>12000.0</v>
      </c>
      <c r="E8" s="5">
        <v>12000.0</v>
      </c>
      <c r="F8" s="5">
        <v>12000.0</v>
      </c>
      <c r="G8" s="5">
        <v>12000.0</v>
      </c>
      <c r="H8" s="6">
        <f t="shared" si="3"/>
        <v>12000</v>
      </c>
      <c r="J8" s="2" t="s">
        <v>12</v>
      </c>
      <c r="K8" s="5">
        <v>866.0</v>
      </c>
      <c r="L8" s="5">
        <v>819.0</v>
      </c>
      <c r="M8" s="5">
        <v>1000.0</v>
      </c>
      <c r="N8" s="5">
        <v>812.0</v>
      </c>
      <c r="O8" s="5">
        <v>805.0</v>
      </c>
      <c r="P8" s="6">
        <f t="shared" si="4"/>
        <v>860.4</v>
      </c>
    </row>
    <row r="9">
      <c r="B9" s="2" t="s">
        <v>13</v>
      </c>
      <c r="C9" s="5">
        <v>12000.0</v>
      </c>
      <c r="D9" s="5">
        <v>12000.0</v>
      </c>
      <c r="E9" s="5">
        <v>12000.0</v>
      </c>
      <c r="F9" s="5">
        <v>12000.0</v>
      </c>
      <c r="G9" s="5">
        <v>12000.0</v>
      </c>
      <c r="H9" s="6">
        <f t="shared" si="3"/>
        <v>12000</v>
      </c>
      <c r="J9" s="2" t="s">
        <v>13</v>
      </c>
      <c r="K9" s="5">
        <v>997.0</v>
      </c>
      <c r="L9" s="5">
        <v>1000.0</v>
      </c>
      <c r="M9" s="5">
        <v>1000.0</v>
      </c>
      <c r="N9" s="5">
        <v>828.0</v>
      </c>
      <c r="O9" s="5">
        <v>812.0</v>
      </c>
      <c r="P9" s="6">
        <f t="shared" si="4"/>
        <v>927.4</v>
      </c>
    </row>
    <row r="10">
      <c r="B10" s="2" t="s">
        <v>14</v>
      </c>
      <c r="C10" s="5">
        <v>13000.0</v>
      </c>
      <c r="D10" s="5">
        <v>12000.0</v>
      </c>
      <c r="E10" s="5">
        <v>12000.0</v>
      </c>
      <c r="F10" s="5">
        <v>12000.0</v>
      </c>
      <c r="G10" s="5">
        <v>12000.0</v>
      </c>
      <c r="H10" s="6">
        <f t="shared" si="3"/>
        <v>12200</v>
      </c>
      <c r="J10" s="2" t="s">
        <v>14</v>
      </c>
      <c r="K10" s="5">
        <v>1000.0</v>
      </c>
      <c r="L10" s="5">
        <v>2000.0</v>
      </c>
      <c r="M10" s="5">
        <v>6000.0</v>
      </c>
      <c r="N10" s="5">
        <v>940.0</v>
      </c>
      <c r="O10" s="5">
        <v>1000.0</v>
      </c>
      <c r="P10" s="6">
        <f t="shared" si="4"/>
        <v>2188</v>
      </c>
    </row>
    <row r="11">
      <c r="B11" s="2" t="s">
        <v>15</v>
      </c>
      <c r="C11" s="5">
        <v>6.0</v>
      </c>
      <c r="D11" s="5">
        <v>8.0</v>
      </c>
      <c r="E11" s="5">
        <v>7.0</v>
      </c>
      <c r="F11" s="5">
        <v>7.0</v>
      </c>
      <c r="G11" s="5">
        <v>6.0</v>
      </c>
      <c r="H11" s="6">
        <f t="shared" si="3"/>
        <v>6.8</v>
      </c>
      <c r="J11" s="2" t="s">
        <v>15</v>
      </c>
      <c r="K11" s="5">
        <v>12.0</v>
      </c>
      <c r="L11" s="5">
        <v>10.0</v>
      </c>
      <c r="M11" s="5">
        <v>16.0</v>
      </c>
      <c r="N11" s="5">
        <v>13.0</v>
      </c>
      <c r="O11" s="5">
        <v>9.0</v>
      </c>
      <c r="P11" s="6">
        <f t="shared" si="4"/>
        <v>12</v>
      </c>
    </row>
    <row r="12">
      <c r="B12" s="2" t="s">
        <v>16</v>
      </c>
      <c r="C12" s="5">
        <v>160.0</v>
      </c>
      <c r="D12" s="5">
        <v>150.0</v>
      </c>
      <c r="E12" s="5">
        <v>116.0</v>
      </c>
      <c r="F12" s="5">
        <v>137.0</v>
      </c>
      <c r="G12" s="5">
        <v>137.0</v>
      </c>
      <c r="H12" s="6">
        <f t="shared" si="3"/>
        <v>140</v>
      </c>
      <c r="J12" s="2" t="s">
        <v>16</v>
      </c>
      <c r="K12" s="5">
        <v>44.0</v>
      </c>
      <c r="L12" s="5">
        <v>57.0</v>
      </c>
      <c r="M12" s="5">
        <v>153.0</v>
      </c>
      <c r="N12" s="5">
        <v>54.0</v>
      </c>
      <c r="O12" s="5">
        <v>20.0</v>
      </c>
      <c r="P12" s="6">
        <f t="shared" si="4"/>
        <v>65.6</v>
      </c>
    </row>
    <row r="15">
      <c r="B15" s="1" t="s">
        <v>17</v>
      </c>
      <c r="C15" s="2" t="s">
        <v>1</v>
      </c>
      <c r="D15" s="2" t="s">
        <v>2</v>
      </c>
      <c r="E15" s="2" t="s">
        <v>3</v>
      </c>
      <c r="F15" s="2" t="s">
        <v>4</v>
      </c>
      <c r="G15" s="2" t="s">
        <v>5</v>
      </c>
      <c r="I15" s="8"/>
      <c r="J15" s="3" t="s">
        <v>18</v>
      </c>
      <c r="K15" s="4" t="s">
        <v>1</v>
      </c>
      <c r="L15" s="4" t="s">
        <v>2</v>
      </c>
      <c r="M15" s="4" t="s">
        <v>3</v>
      </c>
      <c r="N15" s="4" t="s">
        <v>4</v>
      </c>
      <c r="O15" s="4" t="s">
        <v>5</v>
      </c>
    </row>
    <row r="16">
      <c r="B16" s="2" t="s">
        <v>7</v>
      </c>
      <c r="C16" s="5">
        <v>0.41</v>
      </c>
      <c r="D16" s="5">
        <v>0.69</v>
      </c>
      <c r="E16" s="5">
        <v>0.49</v>
      </c>
      <c r="F16" s="5">
        <v>0.66</v>
      </c>
      <c r="G16" s="5">
        <v>0.72</v>
      </c>
      <c r="H16" s="6">
        <f t="shared" ref="H16:H18" si="5">AVERAGE(C16:G16)</f>
        <v>0.594</v>
      </c>
      <c r="J16" s="2" t="s">
        <v>7</v>
      </c>
      <c r="K16" s="7">
        <v>5.54</v>
      </c>
      <c r="L16" s="7">
        <v>5.38</v>
      </c>
      <c r="M16" s="7">
        <v>5.19</v>
      </c>
      <c r="N16" s="7">
        <v>5.59</v>
      </c>
      <c r="O16" s="7">
        <v>5.52</v>
      </c>
      <c r="P16" s="6">
        <f t="shared" ref="P16:P18" si="6">AVERAGE(K16:O16)</f>
        <v>5.444</v>
      </c>
    </row>
    <row r="17">
      <c r="B17" s="2" t="s">
        <v>8</v>
      </c>
      <c r="C17" s="5">
        <v>41.24</v>
      </c>
      <c r="D17" s="5">
        <v>40.46</v>
      </c>
      <c r="E17" s="5">
        <v>40.972</v>
      </c>
      <c r="F17" s="5">
        <v>40.476</v>
      </c>
      <c r="G17" s="5">
        <v>40.512</v>
      </c>
      <c r="H17" s="6">
        <f t="shared" si="5"/>
        <v>40.732</v>
      </c>
      <c r="J17" s="2" t="s">
        <v>8</v>
      </c>
      <c r="K17" s="9">
        <v>131.96</v>
      </c>
      <c r="L17" s="7">
        <v>131.544</v>
      </c>
      <c r="M17" s="7">
        <v>131.956</v>
      </c>
      <c r="N17" s="7">
        <v>132.152</v>
      </c>
      <c r="O17" s="7">
        <v>132.316</v>
      </c>
      <c r="P17" s="10">
        <f t="shared" si="6"/>
        <v>131.9856</v>
      </c>
    </row>
    <row r="18">
      <c r="B18" s="2" t="s">
        <v>9</v>
      </c>
      <c r="C18" s="5">
        <v>157.47</v>
      </c>
      <c r="D18" s="5">
        <v>156.37</v>
      </c>
      <c r="E18" s="5">
        <v>156.13</v>
      </c>
      <c r="F18" s="5">
        <v>154.4</v>
      </c>
      <c r="G18" s="5">
        <v>153.99</v>
      </c>
      <c r="H18" s="6">
        <f t="shared" si="5"/>
        <v>155.672</v>
      </c>
      <c r="J18" s="2" t="s">
        <v>9</v>
      </c>
      <c r="K18" s="7">
        <v>2470.0</v>
      </c>
      <c r="L18" s="7">
        <v>2140.0</v>
      </c>
      <c r="M18" s="7">
        <v>2010.0</v>
      </c>
      <c r="N18" s="7">
        <v>2190.0</v>
      </c>
      <c r="O18" s="7">
        <v>2220.0</v>
      </c>
      <c r="P18" s="6">
        <f t="shared" si="6"/>
        <v>2206</v>
      </c>
    </row>
    <row r="19">
      <c r="B19" s="2" t="s">
        <v>10</v>
      </c>
      <c r="C19" s="5"/>
      <c r="D19" s="6"/>
      <c r="E19" s="6"/>
      <c r="F19" s="6"/>
      <c r="G19" s="6"/>
      <c r="H19" s="6"/>
      <c r="J19" s="2" t="s">
        <v>10</v>
      </c>
      <c r="K19" s="5"/>
      <c r="L19" s="6"/>
      <c r="M19" s="6"/>
      <c r="N19" s="6"/>
      <c r="O19" s="6"/>
      <c r="P19" s="6"/>
    </row>
    <row r="20">
      <c r="B20" s="2" t="s">
        <v>11</v>
      </c>
      <c r="C20" s="5">
        <v>6000.0</v>
      </c>
      <c r="D20" s="5">
        <v>6000.0</v>
      </c>
      <c r="E20" s="5">
        <v>6000.0</v>
      </c>
      <c r="F20" s="5">
        <v>6000.0</v>
      </c>
      <c r="G20" s="5">
        <v>6000.0</v>
      </c>
      <c r="H20" s="6">
        <f t="shared" ref="H20:H25" si="7">AVERAGE(C20:G20)</f>
        <v>6000</v>
      </c>
      <c r="J20" s="2" t="s">
        <v>11</v>
      </c>
      <c r="K20" s="5">
        <v>397.0</v>
      </c>
      <c r="L20" s="5">
        <v>396.0</v>
      </c>
      <c r="M20" s="5">
        <v>416.0</v>
      </c>
      <c r="N20" s="5">
        <v>397.0</v>
      </c>
      <c r="O20" s="5">
        <v>403.0</v>
      </c>
      <c r="P20" s="6">
        <f t="shared" ref="P20:P25" si="8">AVERAGE(K20:O20)</f>
        <v>401.8</v>
      </c>
    </row>
    <row r="21">
      <c r="B21" s="2" t="s">
        <v>12</v>
      </c>
      <c r="C21" s="5">
        <v>6000.0</v>
      </c>
      <c r="D21" s="5">
        <v>6000.0</v>
      </c>
      <c r="E21" s="5">
        <v>7000.0</v>
      </c>
      <c r="F21" s="5">
        <v>6000.0</v>
      </c>
      <c r="G21" s="5">
        <v>6000.0</v>
      </c>
      <c r="H21" s="6">
        <f t="shared" si="7"/>
        <v>6200</v>
      </c>
      <c r="J21" s="2" t="s">
        <v>12</v>
      </c>
      <c r="K21" s="5">
        <v>417.0</v>
      </c>
      <c r="L21" s="5">
        <v>444.0</v>
      </c>
      <c r="M21" s="5">
        <v>702.0</v>
      </c>
      <c r="N21" s="5">
        <v>429.0</v>
      </c>
      <c r="O21" s="5">
        <v>553.0</v>
      </c>
      <c r="P21" s="6">
        <f t="shared" si="8"/>
        <v>509</v>
      </c>
    </row>
    <row r="22">
      <c r="B22" s="2" t="s">
        <v>13</v>
      </c>
      <c r="C22" s="5">
        <v>6000.0</v>
      </c>
      <c r="D22" s="5">
        <v>7000.0</v>
      </c>
      <c r="E22" s="5">
        <v>7000.0</v>
      </c>
      <c r="F22" s="5">
        <v>8000.0</v>
      </c>
      <c r="G22" s="5">
        <v>7000.0</v>
      </c>
      <c r="H22" s="6">
        <f t="shared" si="7"/>
        <v>7000</v>
      </c>
      <c r="J22" s="2" t="s">
        <v>13</v>
      </c>
      <c r="K22" s="5">
        <v>429.0</v>
      </c>
      <c r="L22" s="5">
        <v>554.0</v>
      </c>
      <c r="M22" s="5">
        <v>822.0</v>
      </c>
      <c r="N22" s="5">
        <v>468.0</v>
      </c>
      <c r="O22" s="5">
        <v>600.0</v>
      </c>
      <c r="P22" s="6">
        <f t="shared" si="8"/>
        <v>574.6</v>
      </c>
    </row>
    <row r="23">
      <c r="B23" s="2" t="s">
        <v>14</v>
      </c>
      <c r="C23" s="5">
        <v>6000.0</v>
      </c>
      <c r="D23" s="5">
        <v>7000.0</v>
      </c>
      <c r="E23" s="5">
        <v>8000.0</v>
      </c>
      <c r="F23" s="5">
        <v>9000.0</v>
      </c>
      <c r="G23" s="5">
        <v>8000.0</v>
      </c>
      <c r="H23" s="6">
        <f t="shared" si="7"/>
        <v>7600</v>
      </c>
      <c r="J23" s="2" t="s">
        <v>14</v>
      </c>
      <c r="K23" s="5">
        <v>491.0</v>
      </c>
      <c r="L23" s="5">
        <v>2000.0</v>
      </c>
      <c r="M23" s="5">
        <v>1000.0</v>
      </c>
      <c r="N23" s="5">
        <v>2000.0</v>
      </c>
      <c r="O23" s="5">
        <v>994.0</v>
      </c>
      <c r="P23" s="6">
        <f t="shared" si="8"/>
        <v>1297</v>
      </c>
    </row>
    <row r="24">
      <c r="B24" s="2" t="s">
        <v>15</v>
      </c>
      <c r="C24" s="5">
        <v>11.0</v>
      </c>
      <c r="D24" s="5">
        <v>53.0</v>
      </c>
      <c r="E24" s="5">
        <v>34.0</v>
      </c>
      <c r="F24" s="5">
        <v>50.0</v>
      </c>
      <c r="G24" s="5">
        <v>15.0</v>
      </c>
      <c r="H24" s="6">
        <f t="shared" si="7"/>
        <v>32.6</v>
      </c>
      <c r="J24" s="2" t="s">
        <v>15</v>
      </c>
      <c r="K24" s="5">
        <v>18.0</v>
      </c>
      <c r="L24" s="5">
        <v>23.0</v>
      </c>
      <c r="M24" s="5">
        <v>84.0</v>
      </c>
      <c r="N24" s="5">
        <v>22.0</v>
      </c>
      <c r="O24" s="5">
        <v>40.0</v>
      </c>
      <c r="P24" s="6">
        <f t="shared" si="8"/>
        <v>37.4</v>
      </c>
    </row>
    <row r="25">
      <c r="B25" s="2" t="s">
        <v>16</v>
      </c>
      <c r="C25" s="5">
        <v>109.0</v>
      </c>
      <c r="D25" s="5">
        <v>654.0</v>
      </c>
      <c r="E25" s="5">
        <v>1000.0</v>
      </c>
      <c r="F25" s="5">
        <v>1000.0</v>
      </c>
      <c r="G25" s="5">
        <v>1000.0</v>
      </c>
      <c r="H25" s="6">
        <f t="shared" si="7"/>
        <v>752.6</v>
      </c>
      <c r="J25" s="2" t="s">
        <v>16</v>
      </c>
      <c r="K25" s="5">
        <v>37.0</v>
      </c>
      <c r="L25" s="5">
        <v>87.0</v>
      </c>
      <c r="M25" s="5">
        <v>294.0</v>
      </c>
      <c r="N25" s="5">
        <v>63.0</v>
      </c>
      <c r="O25" s="5">
        <v>234.0</v>
      </c>
      <c r="P25" s="6">
        <f t="shared" si="8"/>
        <v>143</v>
      </c>
    </row>
    <row r="29">
      <c r="B29" s="1" t="s">
        <v>19</v>
      </c>
      <c r="C29" s="2" t="s">
        <v>1</v>
      </c>
      <c r="D29" s="2" t="s">
        <v>2</v>
      </c>
      <c r="E29" s="2" t="s">
        <v>3</v>
      </c>
      <c r="F29" s="2" t="s">
        <v>4</v>
      </c>
      <c r="G29" s="2" t="s">
        <v>5</v>
      </c>
      <c r="J29" s="1" t="s">
        <v>20</v>
      </c>
      <c r="K29" s="2" t="s">
        <v>1</v>
      </c>
      <c r="L29" s="2" t="s">
        <v>2</v>
      </c>
      <c r="M29" s="2" t="s">
        <v>3</v>
      </c>
      <c r="N29" s="2" t="s">
        <v>4</v>
      </c>
      <c r="O29" s="2" t="s">
        <v>5</v>
      </c>
    </row>
    <row r="30">
      <c r="B30" s="2" t="s">
        <v>7</v>
      </c>
      <c r="C30" s="5">
        <v>0.85</v>
      </c>
      <c r="D30" s="5">
        <v>1.01</v>
      </c>
      <c r="E30" s="5">
        <v>0.91</v>
      </c>
      <c r="F30" s="5">
        <v>1.03</v>
      </c>
      <c r="G30" s="5">
        <v>0.93</v>
      </c>
      <c r="H30" s="6">
        <f t="shared" ref="H30:H32" si="9">AVERAGE(C30:G30)</f>
        <v>0.946</v>
      </c>
      <c r="J30" s="2" t="s">
        <v>7</v>
      </c>
      <c r="K30" s="5">
        <v>7.08</v>
      </c>
      <c r="L30" s="5">
        <v>6.07</v>
      </c>
      <c r="M30" s="5">
        <v>6.57</v>
      </c>
      <c r="N30" s="5">
        <v>6.31</v>
      </c>
      <c r="O30" s="5">
        <v>7.25</v>
      </c>
      <c r="P30" s="6">
        <f t="shared" ref="P30:P32" si="10">AVERAGE(K30:O30)</f>
        <v>6.656</v>
      </c>
    </row>
    <row r="31">
      <c r="B31" s="2" t="s">
        <v>8</v>
      </c>
      <c r="C31" s="5">
        <v>38.492</v>
      </c>
      <c r="D31" s="5">
        <v>46.44</v>
      </c>
      <c r="E31" s="5">
        <v>46.576</v>
      </c>
      <c r="F31" s="5">
        <v>46.556</v>
      </c>
      <c r="G31" s="5">
        <v>44.44</v>
      </c>
      <c r="H31" s="6">
        <f t="shared" si="9"/>
        <v>44.5008</v>
      </c>
      <c r="J31" s="2" t="s">
        <v>8</v>
      </c>
      <c r="K31" s="5">
        <v>228.404</v>
      </c>
      <c r="L31" s="5">
        <v>228.828</v>
      </c>
      <c r="M31" s="5">
        <v>229.568</v>
      </c>
      <c r="N31" s="5">
        <v>229.36</v>
      </c>
      <c r="O31" s="5">
        <v>228.712</v>
      </c>
      <c r="P31" s="6">
        <f t="shared" si="10"/>
        <v>228.9744</v>
      </c>
    </row>
    <row r="32">
      <c r="B32" s="2" t="s">
        <v>9</v>
      </c>
      <c r="C32" s="5">
        <v>312.12</v>
      </c>
      <c r="D32" s="5">
        <v>312.5</v>
      </c>
      <c r="E32" s="5">
        <v>314.0</v>
      </c>
      <c r="F32" s="5">
        <v>312.36</v>
      </c>
      <c r="G32" s="5">
        <v>311.93</v>
      </c>
      <c r="H32" s="6">
        <f t="shared" si="9"/>
        <v>312.582</v>
      </c>
      <c r="J32" s="2" t="s">
        <v>9</v>
      </c>
      <c r="K32" s="5">
        <v>2740.0</v>
      </c>
      <c r="L32" s="5">
        <v>2360.0</v>
      </c>
      <c r="M32" s="5">
        <v>2580.0</v>
      </c>
      <c r="N32" s="5">
        <v>2420.0</v>
      </c>
      <c r="O32" s="5">
        <v>2800.0</v>
      </c>
      <c r="P32" s="6">
        <f t="shared" si="10"/>
        <v>2580</v>
      </c>
    </row>
    <row r="33">
      <c r="B33" s="2" t="s">
        <v>10</v>
      </c>
      <c r="C33" s="5"/>
      <c r="D33" s="6"/>
      <c r="E33" s="6"/>
      <c r="F33" s="6"/>
      <c r="G33" s="6"/>
      <c r="H33" s="6"/>
      <c r="J33" s="2" t="s">
        <v>10</v>
      </c>
      <c r="K33" s="5"/>
      <c r="L33" s="6"/>
      <c r="M33" s="6"/>
      <c r="N33" s="6"/>
      <c r="O33" s="6"/>
      <c r="P33" s="6"/>
    </row>
    <row r="34">
      <c r="B34" s="2" t="s">
        <v>11</v>
      </c>
      <c r="C34" s="5">
        <v>3000.0</v>
      </c>
      <c r="D34" s="5">
        <v>3000.0</v>
      </c>
      <c r="E34" s="5">
        <v>3000.0</v>
      </c>
      <c r="F34" s="5">
        <v>3000.0</v>
      </c>
      <c r="G34" s="5">
        <v>3000.0</v>
      </c>
      <c r="H34" s="6">
        <f t="shared" ref="H34:H39" si="11">AVERAGE(C34:G34)</f>
        <v>3000</v>
      </c>
      <c r="J34" s="2" t="s">
        <v>11</v>
      </c>
      <c r="K34" s="5">
        <v>310.0</v>
      </c>
      <c r="L34" s="5">
        <v>319.0</v>
      </c>
      <c r="M34" s="5">
        <v>311.0</v>
      </c>
      <c r="N34" s="5">
        <v>322.0</v>
      </c>
      <c r="O34" s="5">
        <v>315.0</v>
      </c>
      <c r="P34" s="6">
        <f t="shared" ref="P34:P39" si="12">AVERAGE(K34:O34)</f>
        <v>315.4</v>
      </c>
    </row>
    <row r="35">
      <c r="B35" s="2" t="s">
        <v>12</v>
      </c>
      <c r="C35" s="5">
        <v>3000.0</v>
      </c>
      <c r="D35" s="5">
        <v>3000.0</v>
      </c>
      <c r="E35" s="5">
        <v>3000.0</v>
      </c>
      <c r="F35" s="5">
        <v>3000.0</v>
      </c>
      <c r="G35" s="5">
        <v>3000.0</v>
      </c>
      <c r="H35" s="6">
        <f t="shared" si="11"/>
        <v>3000</v>
      </c>
      <c r="J35" s="2" t="s">
        <v>12</v>
      </c>
      <c r="K35" s="5">
        <v>432.0</v>
      </c>
      <c r="L35" s="5">
        <v>574.0</v>
      </c>
      <c r="M35" s="5">
        <v>515.0</v>
      </c>
      <c r="N35" s="5">
        <v>589.0</v>
      </c>
      <c r="O35" s="5">
        <v>470.0</v>
      </c>
      <c r="P35" s="6">
        <f t="shared" si="12"/>
        <v>516</v>
      </c>
    </row>
    <row r="36">
      <c r="B36" s="2" t="s">
        <v>13</v>
      </c>
      <c r="C36" s="5">
        <v>3000.0</v>
      </c>
      <c r="D36" s="5">
        <v>3000.0</v>
      </c>
      <c r="E36" s="5">
        <v>3000.0</v>
      </c>
      <c r="F36" s="5">
        <v>3000.0</v>
      </c>
      <c r="G36" s="5">
        <v>3000.0</v>
      </c>
      <c r="H36" s="6">
        <f t="shared" si="11"/>
        <v>3000</v>
      </c>
      <c r="J36" s="2" t="s">
        <v>21</v>
      </c>
      <c r="K36" s="5">
        <v>581.0</v>
      </c>
      <c r="L36" s="5">
        <v>1000.0</v>
      </c>
      <c r="M36" s="5">
        <v>968.0</v>
      </c>
      <c r="N36" s="5">
        <v>950.0</v>
      </c>
      <c r="O36" s="5">
        <v>540.0</v>
      </c>
      <c r="P36" s="6">
        <f t="shared" si="12"/>
        <v>807.8</v>
      </c>
    </row>
    <row r="37">
      <c r="B37" s="2" t="s">
        <v>14</v>
      </c>
      <c r="C37" s="5">
        <v>3000.0</v>
      </c>
      <c r="D37" s="5">
        <v>3000.0</v>
      </c>
      <c r="E37" s="5">
        <v>3000.0</v>
      </c>
      <c r="F37" s="5">
        <v>3000.0</v>
      </c>
      <c r="G37" s="5">
        <v>3000.0</v>
      </c>
      <c r="H37" s="6">
        <f t="shared" si="11"/>
        <v>3000</v>
      </c>
      <c r="J37" s="2" t="s">
        <v>14</v>
      </c>
      <c r="K37" s="5">
        <v>1000.0</v>
      </c>
      <c r="L37" s="5">
        <v>1000.0</v>
      </c>
      <c r="M37" s="5">
        <v>1000.0</v>
      </c>
      <c r="N37" s="5">
        <v>1000.0</v>
      </c>
      <c r="O37" s="5">
        <v>1000.0</v>
      </c>
      <c r="P37" s="6">
        <f t="shared" si="12"/>
        <v>1000</v>
      </c>
    </row>
    <row r="38">
      <c r="B38" s="2" t="s">
        <v>15</v>
      </c>
      <c r="C38" s="5">
        <v>12.0</v>
      </c>
      <c r="D38" s="5">
        <v>8.0</v>
      </c>
      <c r="E38" s="5">
        <v>7.0</v>
      </c>
      <c r="F38" s="5">
        <v>9.0</v>
      </c>
      <c r="G38" s="5">
        <v>8.0</v>
      </c>
      <c r="H38" s="6">
        <f t="shared" si="11"/>
        <v>8.8</v>
      </c>
      <c r="J38" s="2" t="s">
        <v>15</v>
      </c>
      <c r="K38" s="5">
        <v>95.0</v>
      </c>
      <c r="L38" s="5">
        <v>96.0</v>
      </c>
      <c r="M38" s="5">
        <v>92.0</v>
      </c>
      <c r="N38" s="5">
        <v>97.0</v>
      </c>
      <c r="O38" s="5">
        <v>98.0</v>
      </c>
      <c r="P38" s="6">
        <f t="shared" si="12"/>
        <v>95.6</v>
      </c>
    </row>
    <row r="39">
      <c r="B39" s="2" t="s">
        <v>16</v>
      </c>
      <c r="C39" s="5">
        <v>65.0</v>
      </c>
      <c r="D39" s="5">
        <v>26.0</v>
      </c>
      <c r="E39" s="5">
        <v>20.0</v>
      </c>
      <c r="F39" s="5">
        <v>27.0</v>
      </c>
      <c r="G39" s="5">
        <v>21.0</v>
      </c>
      <c r="H39" s="6">
        <f t="shared" si="11"/>
        <v>31.8</v>
      </c>
      <c r="J39" s="2" t="s">
        <v>16</v>
      </c>
      <c r="K39" s="5">
        <v>164.0</v>
      </c>
      <c r="L39" s="5">
        <v>341.0</v>
      </c>
      <c r="M39" s="5">
        <v>250.0</v>
      </c>
      <c r="N39" s="5">
        <v>327.0</v>
      </c>
      <c r="O39" s="5">
        <v>185.0</v>
      </c>
      <c r="P39" s="6">
        <f t="shared" si="12"/>
        <v>253.4</v>
      </c>
    </row>
    <row r="42">
      <c r="B42" s="1" t="s">
        <v>22</v>
      </c>
      <c r="C42" s="2" t="s">
        <v>1</v>
      </c>
      <c r="D42" s="2" t="s">
        <v>2</v>
      </c>
      <c r="E42" s="2" t="s">
        <v>3</v>
      </c>
      <c r="F42" s="2" t="s">
        <v>4</v>
      </c>
      <c r="G42" s="2" t="s">
        <v>5</v>
      </c>
      <c r="J42" s="1" t="s">
        <v>23</v>
      </c>
      <c r="K42" s="2" t="s">
        <v>1</v>
      </c>
      <c r="L42" s="2" t="s">
        <v>2</v>
      </c>
      <c r="M42" s="2" t="s">
        <v>3</v>
      </c>
      <c r="N42" s="2" t="s">
        <v>4</v>
      </c>
      <c r="O42" s="2" t="s">
        <v>5</v>
      </c>
    </row>
    <row r="43">
      <c r="B43" s="2" t="s">
        <v>7</v>
      </c>
      <c r="C43" s="5">
        <v>2.1</v>
      </c>
      <c r="D43" s="5">
        <v>2.42</v>
      </c>
      <c r="E43" s="5">
        <v>2.25</v>
      </c>
      <c r="F43" s="5">
        <v>2.28</v>
      </c>
      <c r="G43" s="5">
        <v>2.24</v>
      </c>
      <c r="H43" s="6">
        <f t="shared" ref="H43:H45" si="13">AVERAGE(C43:G43)</f>
        <v>2.258</v>
      </c>
      <c r="J43" s="2" t="s">
        <v>7</v>
      </c>
      <c r="K43" s="5">
        <v>7.12</v>
      </c>
      <c r="L43" s="5">
        <v>7.68</v>
      </c>
      <c r="M43" s="5">
        <v>8.05</v>
      </c>
      <c r="N43" s="5">
        <v>8.52</v>
      </c>
      <c r="O43" s="5">
        <v>7.5</v>
      </c>
      <c r="P43" s="6">
        <f t="shared" ref="P43:P45" si="14">AVERAGE(K43:O43)</f>
        <v>7.774</v>
      </c>
    </row>
    <row r="44">
      <c r="B44" s="2" t="s">
        <v>8</v>
      </c>
      <c r="C44" s="5">
        <v>58.616</v>
      </c>
      <c r="D44" s="5">
        <v>57.892</v>
      </c>
      <c r="E44" s="5">
        <v>58.504</v>
      </c>
      <c r="F44" s="5">
        <v>58.744</v>
      </c>
      <c r="G44" s="5">
        <v>58.58</v>
      </c>
      <c r="H44" s="6">
        <f t="shared" si="13"/>
        <v>58.4672</v>
      </c>
      <c r="J44" s="2" t="s">
        <v>8</v>
      </c>
      <c r="K44" s="11">
        <v>421.8</v>
      </c>
      <c r="L44" s="5">
        <v>422.288</v>
      </c>
      <c r="M44" s="5">
        <v>422.288</v>
      </c>
      <c r="N44" s="5">
        <v>422.288</v>
      </c>
      <c r="O44" s="5">
        <v>422.392</v>
      </c>
      <c r="P44" s="12">
        <f t="shared" si="14"/>
        <v>422.2112</v>
      </c>
    </row>
    <row r="45">
      <c r="B45" s="2" t="s">
        <v>9</v>
      </c>
      <c r="C45" s="5">
        <v>624.63</v>
      </c>
      <c r="D45" s="5">
        <v>626.79</v>
      </c>
      <c r="E45" s="5">
        <v>623.64</v>
      </c>
      <c r="F45" s="5">
        <v>626.31</v>
      </c>
      <c r="G45" s="5">
        <v>624.94</v>
      </c>
      <c r="H45" s="6">
        <f t="shared" si="13"/>
        <v>625.262</v>
      </c>
      <c r="J45" s="2" t="s">
        <v>9</v>
      </c>
      <c r="K45" s="5">
        <v>2450.0</v>
      </c>
      <c r="L45" s="5">
        <v>2470.0</v>
      </c>
      <c r="M45" s="5">
        <v>2920.0</v>
      </c>
      <c r="N45" s="5">
        <v>3070.0</v>
      </c>
      <c r="O45" s="5">
        <v>2650.0</v>
      </c>
      <c r="P45" s="6">
        <f t="shared" si="14"/>
        <v>2712</v>
      </c>
    </row>
    <row r="46">
      <c r="B46" s="2" t="s">
        <v>10</v>
      </c>
      <c r="C46" s="5"/>
      <c r="D46" s="6"/>
      <c r="E46" s="6"/>
      <c r="F46" s="6"/>
      <c r="G46" s="6"/>
      <c r="H46" s="6"/>
      <c r="J46" s="2" t="s">
        <v>10</v>
      </c>
      <c r="K46" s="5"/>
      <c r="L46" s="5">
        <v>1.0</v>
      </c>
      <c r="M46" s="6"/>
      <c r="N46" s="6"/>
      <c r="O46" s="6"/>
      <c r="P46" s="6"/>
    </row>
    <row r="47">
      <c r="B47" s="2" t="s">
        <v>11</v>
      </c>
      <c r="C47" s="5">
        <v>1000.0</v>
      </c>
      <c r="D47" s="5">
        <v>1000.0</v>
      </c>
      <c r="E47" s="5">
        <v>1000.0</v>
      </c>
      <c r="F47" s="5">
        <v>1000.0</v>
      </c>
      <c r="G47" s="5">
        <v>1000.0</v>
      </c>
      <c r="H47" s="6">
        <f t="shared" ref="H47:H52" si="15">AVERAGE(C47:G47)</f>
        <v>1000</v>
      </c>
      <c r="J47" s="2" t="s">
        <v>11</v>
      </c>
      <c r="K47" s="5">
        <v>301.0</v>
      </c>
      <c r="L47" s="5">
        <v>282.0</v>
      </c>
      <c r="M47" s="5">
        <v>273.0</v>
      </c>
      <c r="N47" s="5">
        <v>273.0</v>
      </c>
      <c r="O47" s="5">
        <v>296.0</v>
      </c>
      <c r="P47" s="6">
        <f t="shared" ref="P47:P52" si="16">AVERAGE(K47:O47)</f>
        <v>285</v>
      </c>
    </row>
    <row r="48">
      <c r="B48" s="2" t="s">
        <v>12</v>
      </c>
      <c r="C48" s="5">
        <v>1000.0</v>
      </c>
      <c r="D48" s="5">
        <v>1000.0</v>
      </c>
      <c r="E48" s="5">
        <v>1000.0</v>
      </c>
      <c r="F48" s="5">
        <v>1000.0</v>
      </c>
      <c r="G48" s="5">
        <v>1000.0</v>
      </c>
      <c r="H48" s="6">
        <f t="shared" si="15"/>
        <v>1000</v>
      </c>
      <c r="J48" s="2" t="s">
        <v>12</v>
      </c>
      <c r="K48" s="5">
        <v>662.0</v>
      </c>
      <c r="L48" s="5">
        <v>402.0</v>
      </c>
      <c r="M48" s="5">
        <v>392.0</v>
      </c>
      <c r="N48" s="5">
        <v>392.0</v>
      </c>
      <c r="O48" s="5">
        <v>527.0</v>
      </c>
      <c r="P48" s="6">
        <f t="shared" si="16"/>
        <v>475</v>
      </c>
    </row>
    <row r="49">
      <c r="B49" s="2" t="s">
        <v>21</v>
      </c>
      <c r="C49" s="5">
        <v>1000.0</v>
      </c>
      <c r="D49" s="5">
        <v>1000.0</v>
      </c>
      <c r="E49" s="5">
        <v>1000.0</v>
      </c>
      <c r="F49" s="5">
        <v>1000.0</v>
      </c>
      <c r="G49" s="5">
        <v>1000.0</v>
      </c>
      <c r="H49" s="6">
        <f t="shared" si="15"/>
        <v>1000</v>
      </c>
      <c r="J49" s="2" t="s">
        <v>21</v>
      </c>
      <c r="K49" s="5">
        <v>1000.0</v>
      </c>
      <c r="L49" s="5">
        <v>792.0</v>
      </c>
      <c r="M49" s="5">
        <v>604.0</v>
      </c>
      <c r="N49" s="5">
        <v>604.0</v>
      </c>
      <c r="O49" s="5">
        <v>1000.0</v>
      </c>
      <c r="P49" s="6">
        <f t="shared" si="16"/>
        <v>800</v>
      </c>
    </row>
    <row r="50">
      <c r="B50" s="2" t="s">
        <v>14</v>
      </c>
      <c r="C50" s="5">
        <v>1000.0</v>
      </c>
      <c r="D50" s="5">
        <v>1000.0</v>
      </c>
      <c r="E50" s="5">
        <v>1000.0</v>
      </c>
      <c r="F50" s="5">
        <v>1000.0</v>
      </c>
      <c r="G50" s="5">
        <v>1000.0</v>
      </c>
      <c r="H50" s="6">
        <f t="shared" si="15"/>
        <v>1000</v>
      </c>
      <c r="J50" s="2" t="s">
        <v>14</v>
      </c>
      <c r="K50" s="5">
        <v>1000.0</v>
      </c>
      <c r="L50" s="5">
        <v>1000.0</v>
      </c>
      <c r="M50" s="5">
        <v>1000.0</v>
      </c>
      <c r="N50" s="5">
        <v>1000.0</v>
      </c>
      <c r="O50" s="5">
        <v>1000.0</v>
      </c>
      <c r="P50" s="6">
        <f t="shared" si="16"/>
        <v>1000</v>
      </c>
    </row>
    <row r="51">
      <c r="B51" s="2" t="s">
        <v>15</v>
      </c>
      <c r="C51" s="5">
        <v>8.0</v>
      </c>
      <c r="D51" s="5">
        <v>7.0</v>
      </c>
      <c r="E51" s="5">
        <v>6.0</v>
      </c>
      <c r="F51" s="5">
        <v>6.0</v>
      </c>
      <c r="G51" s="5">
        <v>7.0</v>
      </c>
      <c r="H51" s="6">
        <f t="shared" si="15"/>
        <v>6.8</v>
      </c>
      <c r="J51" s="2" t="s">
        <v>15</v>
      </c>
      <c r="K51" s="5">
        <v>90.0</v>
      </c>
      <c r="L51" s="5">
        <v>77.0</v>
      </c>
      <c r="M51" s="5">
        <v>75.0</v>
      </c>
      <c r="N51" s="5">
        <v>75.0</v>
      </c>
      <c r="O51" s="5">
        <v>89.0</v>
      </c>
      <c r="P51" s="6">
        <f t="shared" si="16"/>
        <v>81.2</v>
      </c>
    </row>
    <row r="52">
      <c r="B52" s="2" t="s">
        <v>16</v>
      </c>
      <c r="C52" s="5">
        <v>24.0</v>
      </c>
      <c r="D52" s="5">
        <v>15.0</v>
      </c>
      <c r="E52" s="5">
        <v>15.0</v>
      </c>
      <c r="F52" s="5">
        <v>15.0</v>
      </c>
      <c r="G52" s="5">
        <v>14.0</v>
      </c>
      <c r="H52" s="6">
        <f t="shared" si="15"/>
        <v>16.6</v>
      </c>
      <c r="J52" s="2" t="s">
        <v>16</v>
      </c>
      <c r="K52" s="5">
        <v>269.0</v>
      </c>
      <c r="L52" s="5">
        <v>155.0</v>
      </c>
      <c r="M52" s="5">
        <v>142.0</v>
      </c>
      <c r="N52" s="5">
        <v>142.0</v>
      </c>
      <c r="O52" s="5">
        <v>195.0</v>
      </c>
      <c r="P52" s="6">
        <f t="shared" si="16"/>
        <v>180.6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25"/>
    <col customWidth="1" min="6" max="6" width="14.63"/>
    <col customWidth="1" min="7" max="7" width="14.0"/>
    <col customWidth="1" min="8" max="8" width="13.0"/>
    <col customWidth="1" min="9" max="9" width="14.0"/>
    <col customWidth="1" min="10" max="10" width="27.38"/>
    <col customWidth="1" min="11" max="11" width="26.88"/>
    <col customWidth="1" min="12" max="12" width="25.25"/>
    <col customWidth="1" min="13" max="13" width="27.38"/>
  </cols>
  <sheetData>
    <row r="3">
      <c r="M3" s="13"/>
      <c r="N3" s="13"/>
    </row>
    <row r="4">
      <c r="B4" s="2" t="s">
        <v>24</v>
      </c>
      <c r="C4" s="14" t="s">
        <v>25</v>
      </c>
      <c r="D4" s="15" t="s">
        <v>26</v>
      </c>
      <c r="E4" s="2" t="s">
        <v>7</v>
      </c>
      <c r="F4" s="2" t="s">
        <v>11</v>
      </c>
      <c r="G4" s="2" t="s">
        <v>12</v>
      </c>
      <c r="H4" s="2" t="s">
        <v>21</v>
      </c>
      <c r="I4" s="2" t="s">
        <v>14</v>
      </c>
      <c r="J4" s="2" t="s">
        <v>15</v>
      </c>
      <c r="K4" s="2" t="s">
        <v>16</v>
      </c>
      <c r="L4" s="2" t="s">
        <v>27</v>
      </c>
      <c r="M4" s="13"/>
      <c r="N4" s="13"/>
    </row>
    <row r="5">
      <c r="B5" s="5">
        <v>8.0</v>
      </c>
      <c r="C5" s="5">
        <v>78.84</v>
      </c>
      <c r="D5" s="16">
        <v>32.658</v>
      </c>
      <c r="E5" s="5">
        <v>0.208</v>
      </c>
      <c r="F5" s="5">
        <v>12000.0</v>
      </c>
      <c r="G5" s="5">
        <v>12000.0</v>
      </c>
      <c r="H5" s="5">
        <v>12000.0</v>
      </c>
      <c r="I5" s="5">
        <v>12000.0</v>
      </c>
      <c r="J5" s="5">
        <v>6.8</v>
      </c>
      <c r="K5" s="5">
        <v>140.0</v>
      </c>
      <c r="L5" s="17">
        <v>80.0</v>
      </c>
      <c r="M5" s="13"/>
      <c r="N5" s="13"/>
    </row>
    <row r="6">
      <c r="B6" s="5">
        <v>16.0</v>
      </c>
      <c r="C6" s="5">
        <v>155.672</v>
      </c>
      <c r="D6" s="18">
        <v>40.732</v>
      </c>
      <c r="E6" s="5">
        <v>0.594</v>
      </c>
      <c r="F6" s="5">
        <v>6000.0</v>
      </c>
      <c r="G6" s="5">
        <v>6200.0</v>
      </c>
      <c r="H6" s="5">
        <v>7000.0</v>
      </c>
      <c r="I6" s="5">
        <v>7600.0</v>
      </c>
      <c r="J6" s="5">
        <v>32.6</v>
      </c>
      <c r="K6" s="5">
        <v>752.0</v>
      </c>
      <c r="L6" s="17">
        <v>160.0</v>
      </c>
      <c r="M6" s="13"/>
      <c r="N6" s="13"/>
    </row>
    <row r="7">
      <c r="B7" s="5">
        <v>32.0</v>
      </c>
      <c r="C7" s="5">
        <v>312.582</v>
      </c>
      <c r="D7" s="16">
        <v>44.5</v>
      </c>
      <c r="E7" s="5">
        <v>0.946</v>
      </c>
      <c r="F7" s="5">
        <v>3000.0</v>
      </c>
      <c r="G7" s="5">
        <v>3000.0</v>
      </c>
      <c r="H7" s="5">
        <v>3000.0</v>
      </c>
      <c r="I7" s="5">
        <v>3000.0</v>
      </c>
      <c r="J7" s="5">
        <v>8.8</v>
      </c>
      <c r="K7" s="5">
        <v>31.8</v>
      </c>
      <c r="L7" s="17">
        <v>320.0</v>
      </c>
      <c r="M7" s="13"/>
      <c r="N7" s="13"/>
    </row>
    <row r="8">
      <c r="B8" s="5">
        <v>64.0</v>
      </c>
      <c r="C8" s="5">
        <v>625.262</v>
      </c>
      <c r="D8" s="18">
        <v>58.4672</v>
      </c>
      <c r="E8" s="5">
        <v>2.258</v>
      </c>
      <c r="F8" s="5">
        <v>1000.0</v>
      </c>
      <c r="G8" s="5">
        <v>1000.0</v>
      </c>
      <c r="H8" s="5">
        <v>1000.0</v>
      </c>
      <c r="I8" s="5">
        <v>1000.0</v>
      </c>
      <c r="J8" s="5">
        <v>6.8</v>
      </c>
      <c r="K8" s="5">
        <v>16.6</v>
      </c>
      <c r="L8" s="17">
        <v>640.0</v>
      </c>
      <c r="M8" s="13"/>
      <c r="N8" s="13"/>
    </row>
    <row r="9">
      <c r="B9" s="5">
        <v>128.0</v>
      </c>
      <c r="C9" s="5">
        <v>1166.802</v>
      </c>
      <c r="D9" s="18">
        <v>80.56</v>
      </c>
      <c r="E9" s="5">
        <v>3.474</v>
      </c>
      <c r="F9" s="5">
        <v>792.0</v>
      </c>
      <c r="G9" s="5">
        <v>860.0</v>
      </c>
      <c r="H9" s="5">
        <v>927.0</v>
      </c>
      <c r="I9" s="5">
        <v>2188.0</v>
      </c>
      <c r="J9" s="5">
        <v>12.0</v>
      </c>
      <c r="K9" s="5">
        <v>65.6</v>
      </c>
      <c r="L9" s="17">
        <v>1280.0</v>
      </c>
    </row>
    <row r="10">
      <c r="B10" s="5">
        <v>256.0</v>
      </c>
      <c r="C10" s="5">
        <v>2206.0</v>
      </c>
      <c r="D10" s="16">
        <v>131.986</v>
      </c>
      <c r="E10" s="5">
        <v>5.444</v>
      </c>
      <c r="F10" s="5">
        <v>401.8</v>
      </c>
      <c r="G10" s="5">
        <v>509.0</v>
      </c>
      <c r="H10" s="5">
        <v>574.6</v>
      </c>
      <c r="I10" s="5">
        <v>1297.0</v>
      </c>
      <c r="J10" s="5">
        <v>37.4</v>
      </c>
      <c r="K10" s="5">
        <v>143.0</v>
      </c>
      <c r="L10" s="17">
        <v>2560.0</v>
      </c>
    </row>
    <row r="11">
      <c r="B11" s="5">
        <v>512.0</v>
      </c>
      <c r="C11" s="5">
        <v>2580.0</v>
      </c>
      <c r="D11" s="16">
        <v>228.974</v>
      </c>
      <c r="E11" s="5">
        <v>6.656</v>
      </c>
      <c r="F11" s="5">
        <v>315.4</v>
      </c>
      <c r="G11" s="5">
        <v>516.0</v>
      </c>
      <c r="H11" s="5">
        <v>807.8</v>
      </c>
      <c r="I11" s="5">
        <v>1000.0</v>
      </c>
      <c r="J11" s="5">
        <v>95.6</v>
      </c>
      <c r="K11" s="5">
        <v>253.4</v>
      </c>
      <c r="L11" s="17">
        <v>5120.0</v>
      </c>
    </row>
    <row r="12">
      <c r="B12" s="5">
        <v>1024.0</v>
      </c>
      <c r="C12" s="5">
        <v>2712.0</v>
      </c>
      <c r="D12" s="16">
        <v>422.211</v>
      </c>
      <c r="E12" s="5">
        <v>7.774</v>
      </c>
      <c r="F12" s="5">
        <v>285.0</v>
      </c>
      <c r="G12" s="5">
        <v>475.0</v>
      </c>
      <c r="H12" s="5">
        <v>800.0</v>
      </c>
      <c r="I12" s="5">
        <v>1000.0</v>
      </c>
      <c r="J12" s="5">
        <v>81.2</v>
      </c>
      <c r="K12" s="5">
        <v>180.6</v>
      </c>
      <c r="L12" s="17">
        <v>10240.0</v>
      </c>
    </row>
    <row r="13">
      <c r="B13" s="1"/>
    </row>
    <row r="14">
      <c r="B14" s="19"/>
    </row>
    <row r="15">
      <c r="B15" s="20"/>
      <c r="S15" s="21"/>
    </row>
    <row r="16">
      <c r="B16" s="20"/>
    </row>
  </sheetData>
  <drawing r:id="rId1"/>
</worksheet>
</file>